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Pivot Table 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<sst xmlns="http://schemas.openxmlformats.org/spreadsheetml/2006/main" count="45" uniqueCount="27">
  <si>
    <t>ID</t>
  </si>
  <si>
    <t>Name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</si>
  <si>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</si>
  <si>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</si>
  <si>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</si>
  <si>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</si>
  <si>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</si>
  <si>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</si>
  <si>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</si>
  <si>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</si>
  <si>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</si>
  <si>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</si>
  <si>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DOH</t>
  </si>
  <si>
    <t>Status</t>
  </si>
  <si>
    <t>Pay Rate</t>
  </si>
  <si>
    <t>On Leave</t>
  </si>
  <si>
    <t>Contractor</t>
  </si>
  <si>
    <t>Full-Time</t>
  </si>
  <si>
    <t>Nomes</t>
  </si>
  <si>
    <t>Horas</t>
  </si>
  <si>
    <t>Taxa de pagamento</t>
  </si>
  <si>
    <t>Pagamento total</t>
  </si>
  <si>
    <t>SUM of Taxa de pagamento</t>
  </si>
  <si>
    <t>SUM of Pagamento total</t>
  </si>
  <si>
    <t>Chan, Daniel</t>
  </si>
  <si>
    <t>Sanchez, Alexis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</si>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</sst>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6" sheet="Sheet3"/>
  </cacheSource>
  <cacheFields>
    <cacheField name="ID" numFmtId="0">
      <sharedItems>
        <s v="G001"/>
        <s v="G002"/>
        <s v="G003"/>
        <s v="G004"/>
        <s v="G005"/>
      </sharedItems>
    </cacheField>
    <cacheField name="Nomes" numFmtId="0">
      <sharedItems>
        <s v="Chan, Daniel"/>
        <s v="Ali, Dana"/>
        <s v="Sanchez, Alexis"/>
        <s v="Fischer, Wolfgang"/>
        <s v="Patel, Anika"/>
      </sharedItems>
    </cacheField>
    <cacheField name="1/1/2020" numFmtId="0">
      <sharedItems containsSemiMixedTypes="0" containsString="0" containsNumber="1">
        <n v="8.0"/>
        <n v="8.5"/>
        <n v="7.5"/>
        <n v="6.0"/>
      </sharedItems>
    </cacheField>
    <cacheField name="1/2/2020" numFmtId="0">
      <sharedItems containsSemiMixedTypes="0" containsString="0" containsNumber="1">
        <n v="8.0"/>
        <n v="7.0"/>
        <n v="6.5"/>
        <n v="5.0"/>
      </sharedItems>
    </cacheField>
    <cacheField name="1/3/2020" numFmtId="0">
      <sharedItems containsSemiMixedTypes="0" containsString="0" containsNumber="1">
        <n v="8.5"/>
        <n v="8.0"/>
        <n v="10.0"/>
        <n v="5.0"/>
      </sharedItems>
    </cacheField>
    <cacheField name="1/4/2020" numFmtId="0">
      <sharedItems containsSemiMixedTypes="0" containsString="0" containsNumber="1">
        <n v="7.0"/>
        <n v="8.0"/>
        <n v="5.5"/>
      </sharedItems>
    </cacheField>
    <cacheField name="1/5/2020" numFmtId="0">
      <sharedItems containsSemiMixedTypes="0" containsString="0" containsNumber="1" containsInteger="1">
        <n v="5.0"/>
        <n v="9.0"/>
        <n v="7.0"/>
        <n v="6.0"/>
      </sharedItems>
    </cacheField>
    <cacheField name="1/6/2020" numFmtId="0">
      <sharedItems containsSemiMixedTypes="0" containsString="0" containsNumber="1">
        <n v="2.5"/>
        <n v="5.5"/>
        <n v="5.0"/>
        <n v="4.0"/>
        <n v="2.0"/>
      </sharedItems>
    </cacheField>
    <cacheField name="Horas" numFmtId="0">
      <sharedItems containsSemiMixedTypes="0" containsString="0" containsNumber="1">
        <n v="39.0"/>
        <n v="46.0"/>
        <n v="44.0"/>
        <n v="42.0"/>
        <n v="29.5"/>
      </sharedItems>
    </cacheField>
    <cacheField name="Taxa de pagamento" numFmtId="0">
      <sharedItems containsSemiMixedTypes="0" containsString="0" containsNumber="1">
        <n v="100.5"/>
        <n v="75.0"/>
        <n v="150.0"/>
        <n v="65.0"/>
        <n v="3000.0"/>
      </sharedItems>
    </cacheField>
    <cacheField name="Pagamento total" numFmtId="0">
      <sharedItems containsSemiMixedTypes="0" containsString="0" containsNumber="1">
        <n v="3919.5"/>
        <n v="3450.0"/>
        <n v="6600.0"/>
        <n v="2730.0"/>
        <n v="88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7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es" axis="axisRow" compact="0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1/1/2020" compact="0" outline="0" multipleItemSelectionAllowed="1" showAll="0">
      <items>
        <item x="0"/>
        <item x="1"/>
        <item x="2"/>
        <item x="3"/>
        <item t="default"/>
      </items>
    </pivotField>
    <pivotField name="1/2/2020" compact="0" outline="0" multipleItemSelectionAllowed="1" showAll="0">
      <items>
        <item x="0"/>
        <item x="1"/>
        <item x="2"/>
        <item x="3"/>
        <item t="default"/>
      </items>
    </pivotField>
    <pivotField name="1/3/2020" compact="0" outline="0" multipleItemSelectionAllowed="1" showAll="0">
      <items>
        <item x="0"/>
        <item x="1"/>
        <item x="2"/>
        <item x="3"/>
        <item t="default"/>
      </items>
    </pivotField>
    <pivotField name="1/4/2020" compact="0" outline="0" multipleItemSelectionAllowed="1" showAll="0">
      <items>
        <item x="0"/>
        <item x="1"/>
        <item x="2"/>
        <item t="default"/>
      </items>
    </pivotField>
    <pivotField name="1/5/2020" compact="0" outline="0" multipleItemSelectionAllowed="1" showAll="0">
      <items>
        <item x="0"/>
        <item x="1"/>
        <item x="2"/>
        <item x="3"/>
        <item t="default"/>
      </items>
    </pivotField>
    <pivotField name="1/6/202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xa de pagamento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gamento total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SUM of Taxa de pagamento" fld="9" baseField="0"/>
    <dataField name="SUM of Pagamento total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2">
        <v>43831.0</v>
      </c>
      <c r="D1" s="2">
        <v>43832.0</v>
      </c>
      <c r="E1" s="2">
        <v>43833.0</v>
      </c>
      <c r="F1" s="2">
        <v>43834.0</v>
      </c>
      <c r="G1" s="2">
        <v>43835.0</v>
      </c>
      <c r="H1" s="2">
        <v>43836.0</v>
      </c>
    </row>
    <row r="2">
      <c r="A2" s="1" t="s">
        <v>2</v>
      </c>
      <c r="B2" s="1" t="s">
        <v>3</v>
      </c>
      <c r="C2" s="1">
        <v>8.0</v>
      </c>
      <c r="D2" s="1">
        <v>8.0</v>
      </c>
      <c r="E2" s="1">
        <v>8.5</v>
      </c>
      <c r="F2" s="1">
        <v>7.0</v>
      </c>
      <c r="G2" s="1">
        <v>5.0</v>
      </c>
      <c r="H2" s="1">
        <v>2.5</v>
      </c>
    </row>
    <row r="3">
      <c r="A3" s="1" t="s">
        <v>4</v>
      </c>
      <c r="B3" s="1" t="s">
        <v>5</v>
      </c>
      <c r="C3" s="1">
        <v>8.5</v>
      </c>
      <c r="D3" s="1">
        <v>7.0</v>
      </c>
      <c r="E3" s="1">
        <v>8.0</v>
      </c>
      <c r="F3" s="1">
        <v>8.0</v>
      </c>
      <c r="G3" s="1">
        <v>9.0</v>
      </c>
      <c r="H3" s="1">
        <v>5.5</v>
      </c>
    </row>
    <row r="4">
      <c r="A4" s="1" t="s">
        <v>6</v>
      </c>
      <c r="B4" s="1" t="s">
        <v>7</v>
      </c>
      <c r="C4" s="1">
        <v>7.5</v>
      </c>
      <c r="D4" s="1">
        <v>6.5</v>
      </c>
      <c r="E4" s="1">
        <v>10.0</v>
      </c>
      <c r="F4" s="1">
        <v>8.0</v>
      </c>
      <c r="G4" s="1">
        <v>7.0</v>
      </c>
      <c r="H4" s="1">
        <v>5.0</v>
      </c>
    </row>
    <row r="5">
      <c r="A5" s="1" t="s">
        <v>8</v>
      </c>
      <c r="B5" s="1" t="s">
        <v>9</v>
      </c>
      <c r="C5" s="1">
        <v>8.0</v>
      </c>
      <c r="D5" s="1">
        <v>8.0</v>
      </c>
      <c r="E5" s="1">
        <v>8.0</v>
      </c>
      <c r="F5" s="1">
        <v>7.0</v>
      </c>
      <c r="G5" s="1">
        <v>7.0</v>
      </c>
      <c r="H5" s="1">
        <v>4.0</v>
      </c>
    </row>
    <row r="6">
      <c r="A6" s="1" t="s">
        <v>10</v>
      </c>
      <c r="B6" s="1" t="s">
        <v>11</v>
      </c>
      <c r="C6" s="1">
        <v>6.0</v>
      </c>
      <c r="D6" s="1">
        <v>5.0</v>
      </c>
      <c r="E6" s="1">
        <v>5.0</v>
      </c>
      <c r="F6" s="1">
        <v>5.5</v>
      </c>
      <c r="G6" s="1">
        <v>6.0</v>
      </c>
      <c r="H6" s="1">
        <v>2.0</v>
      </c>
    </row>
    <row r="11">
      <c r="B1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</row>
    <row r="2">
      <c r="A2" s="1" t="s">
        <v>2</v>
      </c>
      <c r="B2" s="2">
        <v>40532.0</v>
      </c>
      <c r="C2" s="1" t="s">
        <v>15</v>
      </c>
      <c r="D2" s="1">
        <v>100.5</v>
      </c>
    </row>
    <row r="3">
      <c r="A3" s="1" t="s">
        <v>4</v>
      </c>
      <c r="B3" s="2">
        <v>40183.0</v>
      </c>
      <c r="C3" s="1" t="s">
        <v>16</v>
      </c>
      <c r="D3" s="1">
        <v>75.0</v>
      </c>
    </row>
    <row r="4">
      <c r="A4" s="1" t="s">
        <v>6</v>
      </c>
      <c r="B4" s="2">
        <v>40858.0</v>
      </c>
      <c r="C4" s="1" t="s">
        <v>17</v>
      </c>
      <c r="D4" s="1">
        <v>150.0</v>
      </c>
    </row>
    <row r="5">
      <c r="A5" s="1" t="s">
        <v>8</v>
      </c>
      <c r="B5" s="2">
        <v>43232.0</v>
      </c>
      <c r="C5" s="1" t="s">
        <v>16</v>
      </c>
      <c r="D5" s="1">
        <v>65.0</v>
      </c>
    </row>
    <row r="6">
      <c r="A6" s="1" t="s">
        <v>10</v>
      </c>
      <c r="B6" s="2">
        <v>43832.0</v>
      </c>
      <c r="C6" s="1" t="s">
        <v>17</v>
      </c>
      <c r="D6" s="1">
        <v>3000.0</v>
      </c>
    </row>
    <row r="7">
      <c r="B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25"/>
    <col customWidth="1" min="3" max="8" width="7.5"/>
    <col customWidth="1" min="9" max="9" width="5.75"/>
    <col customWidth="1" min="10" max="10" width="16.38"/>
    <col customWidth="1" min="11" max="11" width="14.0"/>
  </cols>
  <sheetData>
    <row r="1">
      <c r="A1" s="3" t="s">
        <v>0</v>
      </c>
      <c r="B1" s="3" t="s">
        <v>18</v>
      </c>
      <c r="C1" s="4">
        <v>43831.0</v>
      </c>
      <c r="D1" s="4">
        <v>43832.0</v>
      </c>
      <c r="E1" s="4">
        <v>43833.0</v>
      </c>
      <c r="F1" s="4">
        <v>43834.0</v>
      </c>
      <c r="G1" s="4">
        <v>43835.0</v>
      </c>
      <c r="H1" s="4">
        <v>43836.0</v>
      </c>
      <c r="I1" s="3" t="s">
        <v>19</v>
      </c>
      <c r="J1" s="3" t="s">
        <v>20</v>
      </c>
      <c r="K1" s="3" t="s">
        <v>21</v>
      </c>
    </row>
    <row r="2">
      <c r="A2" s="1" t="s">
        <v>2</v>
      </c>
      <c r="B2" s="5" t="str">
        <f>TRIM(Sheet1!B2)</f>
        <v>Chan, Daniel</v>
      </c>
      <c r="C2" s="5">
        <f>VALUE(Sheet1!C2)</f>
        <v>8</v>
      </c>
      <c r="D2" s="5">
        <f>VALUE(Sheet1!D2)</f>
        <v>8</v>
      </c>
      <c r="E2" s="5">
        <f>VALUE(Sheet1!E2)</f>
        <v>8.5</v>
      </c>
      <c r="F2" s="5">
        <f>VALUE(Sheet1!F2)</f>
        <v>7</v>
      </c>
      <c r="G2" s="5">
        <f>VALUE(Sheet1!G2)</f>
        <v>5</v>
      </c>
      <c r="H2" s="5">
        <f>VALUE(Sheet1!H2)</f>
        <v>2.5</v>
      </c>
      <c r="I2" s="5">
        <f t="shared" ref="I2:I6" si="1">SUM(C2:H2)</f>
        <v>39</v>
      </c>
      <c r="J2" s="5">
        <f>VLOOKUP(A2,Sheet2!A:D,4, FALSE)</f>
        <v>100.5</v>
      </c>
      <c r="K2" s="5">
        <f t="shared" ref="K2:K6" si="2">PRODUCT(I2,J2)</f>
        <v>3919.5</v>
      </c>
    </row>
    <row r="3">
      <c r="A3" s="1" t="s">
        <v>4</v>
      </c>
      <c r="B3" s="5" t="str">
        <f>TRIM(Sheet1!B3)</f>
        <v>Ali, Dana</v>
      </c>
      <c r="C3" s="5">
        <f>VALUE(Sheet1!C3)</f>
        <v>8.5</v>
      </c>
      <c r="D3" s="5">
        <f>VALUE(Sheet1!D3)</f>
        <v>7</v>
      </c>
      <c r="E3" s="5">
        <f>VALUE(Sheet1!E3)</f>
        <v>8</v>
      </c>
      <c r="F3" s="5">
        <f>VALUE(Sheet1!F3)</f>
        <v>8</v>
      </c>
      <c r="G3" s="5">
        <f>VALUE(Sheet1!G3)</f>
        <v>9</v>
      </c>
      <c r="H3" s="5">
        <f>VALUE(Sheet1!H3)</f>
        <v>5.5</v>
      </c>
      <c r="I3" s="5">
        <f t="shared" si="1"/>
        <v>46</v>
      </c>
      <c r="J3" s="5">
        <f>VLOOKUP(A3,Sheet2!A:D,4, FALSE)</f>
        <v>75</v>
      </c>
      <c r="K3" s="5">
        <f t="shared" si="2"/>
        <v>3450</v>
      </c>
    </row>
    <row r="4">
      <c r="A4" s="1" t="s">
        <v>6</v>
      </c>
      <c r="B4" s="5" t="str">
        <f>TRIM(Sheet1!B4)</f>
        <v>Sanchez, Alexis</v>
      </c>
      <c r="C4" s="5">
        <f>VALUE(Sheet1!C4)</f>
        <v>7.5</v>
      </c>
      <c r="D4" s="5">
        <f>VALUE(Sheet1!D4)</f>
        <v>6.5</v>
      </c>
      <c r="E4" s="5">
        <f>VALUE(Sheet1!E4)</f>
        <v>10</v>
      </c>
      <c r="F4" s="5">
        <f>VALUE(Sheet1!F4)</f>
        <v>8</v>
      </c>
      <c r="G4" s="5">
        <f>VALUE(Sheet1!G4)</f>
        <v>7</v>
      </c>
      <c r="H4" s="5">
        <f>VALUE(Sheet1!H4)</f>
        <v>5</v>
      </c>
      <c r="I4" s="5">
        <f t="shared" si="1"/>
        <v>44</v>
      </c>
      <c r="J4" s="5">
        <f>VLOOKUP(A4,Sheet2!A:D,4, FALSE)</f>
        <v>150</v>
      </c>
      <c r="K4" s="5">
        <f t="shared" si="2"/>
        <v>6600</v>
      </c>
    </row>
    <row r="5">
      <c r="A5" s="1" t="s">
        <v>8</v>
      </c>
      <c r="B5" s="5" t="str">
        <f>TRIM(Sheet1!B5)</f>
        <v>Fischer, Wolfgang</v>
      </c>
      <c r="C5" s="5">
        <f>VALUE(Sheet1!C5)</f>
        <v>8</v>
      </c>
      <c r="D5" s="5">
        <f>VALUE(Sheet1!D5)</f>
        <v>8</v>
      </c>
      <c r="E5" s="5">
        <f>VALUE(Sheet1!E5)</f>
        <v>8</v>
      </c>
      <c r="F5" s="5">
        <f>VALUE(Sheet1!F5)</f>
        <v>7</v>
      </c>
      <c r="G5" s="5">
        <f>VALUE(Sheet1!G5)</f>
        <v>7</v>
      </c>
      <c r="H5" s="5">
        <f>VALUE(Sheet1!H5)</f>
        <v>4</v>
      </c>
      <c r="I5" s="5">
        <f t="shared" si="1"/>
        <v>42</v>
      </c>
      <c r="J5" s="5">
        <f>VLOOKUP(A5,Sheet2!A:D,4, FALSE)</f>
        <v>65</v>
      </c>
      <c r="K5" s="5">
        <f t="shared" si="2"/>
        <v>2730</v>
      </c>
    </row>
    <row r="6">
      <c r="A6" s="1" t="s">
        <v>10</v>
      </c>
      <c r="B6" s="5" t="str">
        <f>TRIM(Sheet1!B6)</f>
        <v>Patel, Anika</v>
      </c>
      <c r="C6" s="5">
        <f>VALUE(Sheet1!C6)</f>
        <v>6</v>
      </c>
      <c r="D6" s="5">
        <f>VALUE(Sheet1!D6)</f>
        <v>5</v>
      </c>
      <c r="E6" s="5">
        <f>VALUE(Sheet1!E6)</f>
        <v>5</v>
      </c>
      <c r="F6" s="5">
        <f>VALUE(Sheet1!F6)</f>
        <v>5.5</v>
      </c>
      <c r="G6" s="5">
        <f>VALUE(Sheet1!G6)</f>
        <v>6</v>
      </c>
      <c r="H6" s="5">
        <f>VALUE(Sheet1!H6)</f>
        <v>2</v>
      </c>
      <c r="I6" s="5">
        <f t="shared" si="1"/>
        <v>29.5</v>
      </c>
      <c r="J6" s="5">
        <f>VLOOKUP(A6,Sheet2!A:D,4, FALSE)</f>
        <v>3000</v>
      </c>
      <c r="K6" s="5">
        <f t="shared" si="2"/>
        <v>88500</v>
      </c>
    </row>
    <row r="7">
      <c r="B7" s="5" t="str">
        <f>TRIM(Sheet1!B7)</f>
        <v/>
      </c>
    </row>
    <row r="8">
      <c r="B8" s="5" t="str">
        <f>TRIM(Sheet1!B8)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  <col customWidth="1" min="3" max="3" width="19.13"/>
  </cols>
  <sheetData>
    <row r="1"/>
    <row r="2"/>
    <row r="3"/>
    <row r="4"/>
    <row r="5"/>
    <row r="6"/>
    <row r="7"/>
    <row r="8">
      <c r="B8" s="6"/>
      <c r="C8" s="6"/>
    </row>
    <row r="9">
      <c r="B9" s="6"/>
      <c r="C9" s="6"/>
    </row>
    <row r="10">
      <c r="B10" s="6"/>
      <c r="C10" s="6"/>
    </row>
    <row r="11">
      <c r="B11" s="6"/>
      <c r="C11" s="6"/>
    </row>
    <row r="12">
      <c r="B12" s="6"/>
      <c r="C12" s="6"/>
    </row>
    <row r="13">
      <c r="B13" s="6"/>
      <c r="C13" s="6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6"/>
      <c r="C20" s="6"/>
    </row>
    <row r="21">
      <c r="B21" s="6"/>
      <c r="C21" s="6"/>
    </row>
    <row r="22">
      <c r="B22" s="6"/>
      <c r="C22" s="6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rawing r:id="rId2"/>
</worksheet>
</file>